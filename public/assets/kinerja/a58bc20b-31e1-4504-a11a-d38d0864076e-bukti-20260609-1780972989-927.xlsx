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Tugas Kantor\Tugas Kantor 2026\Pengajuan Pergeseran\Anggaran Perubahan\"/>
    </mc:Choice>
  </mc:AlternateContent>
  <xr:revisionPtr revIDLastSave="0" documentId="13_ncr:1_{FDB2A5EB-2765-493B-A355-BD4C246769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mpiran nota dinas" sheetId="4" r:id="rId1"/>
  </sheets>
  <definedNames>
    <definedName name="_xlnm.Print_Area" localSheetId="0">'lampiran nota dinas'!$A$1:$L$77</definedName>
  </definedNames>
  <calcPr calcId="181029"/>
</workbook>
</file>

<file path=xl/calcChain.xml><?xml version="1.0" encoding="utf-8"?>
<calcChain xmlns="http://schemas.openxmlformats.org/spreadsheetml/2006/main">
  <c r="L78" i="4" l="1"/>
  <c r="G77" i="4"/>
  <c r="L77" i="4"/>
  <c r="L74" i="4"/>
  <c r="L69" i="4" l="1"/>
  <c r="G69" i="4"/>
  <c r="L65" i="4"/>
  <c r="L62" i="4"/>
  <c r="L59" i="4"/>
  <c r="G65" i="4"/>
  <c r="G62" i="4"/>
  <c r="G59" i="4"/>
  <c r="G47" i="4"/>
  <c r="L42" i="4"/>
  <c r="G42" i="4"/>
  <c r="L37" i="4"/>
  <c r="G37" i="4"/>
  <c r="L32" i="4"/>
  <c r="G32" i="4"/>
  <c r="L27" i="4"/>
  <c r="G27" i="4"/>
  <c r="L24" i="4"/>
  <c r="G24" i="4"/>
  <c r="L21" i="4"/>
  <c r="G21" i="4"/>
  <c r="L18" i="4"/>
  <c r="G18" i="4"/>
  <c r="L15" i="4"/>
  <c r="G15" i="4"/>
  <c r="L12" i="4"/>
  <c r="G12" i="4"/>
  <c r="L9" i="4"/>
  <c r="G9" i="4"/>
  <c r="L6" i="4"/>
  <c r="G6" i="4"/>
</calcChain>
</file>

<file path=xl/sharedStrings.xml><?xml version="1.0" encoding="utf-8"?>
<sst xmlns="http://schemas.openxmlformats.org/spreadsheetml/2006/main" count="215" uniqueCount="111">
  <si>
    <t>PPN</t>
  </si>
  <si>
    <t>KODE REKENING</t>
  </si>
  <si>
    <t>URAIAN</t>
  </si>
  <si>
    <t>KOEFISIEN</t>
  </si>
  <si>
    <t>SATUAN</t>
  </si>
  <si>
    <t>HARGA</t>
  </si>
  <si>
    <t>JUMLAH</t>
  </si>
  <si>
    <t>5.1.02.02.001.00030</t>
  </si>
  <si>
    <t>Belanja Jasa Tenaga Kebersihan</t>
  </si>
  <si>
    <t>Tahun</t>
  </si>
  <si>
    <t>2.22.01 PROGRAM PENUNJANG URUSAN PEMERINTAHAN DAERAH PROVINSI</t>
  </si>
  <si>
    <t>Kegiatan: 2.22.01.1.09 Pemeliharaan Barang Milik Daerah Penunjang Urusan Pemerintahan Daerah</t>
  </si>
  <si>
    <t>SEBELUM</t>
  </si>
  <si>
    <t>SESUDAH</t>
  </si>
  <si>
    <t>Kegiatan: 2.22.01.1.08 Penyediaan Jasa Penunjang Urusan Pemerintahan Daerah</t>
  </si>
  <si>
    <t>5.1.02.02.001.00013</t>
  </si>
  <si>
    <t>Belanja Jasa Tenaga Pendidikan</t>
  </si>
  <si>
    <t>Belanja Jasa Tenaga Layanan Perorangan
Spesifikasi : Jasa Tenaga Penyuluh Bahasa
Bali  pada Dinas Kebudayaan Provinsi Bali</t>
  </si>
  <si>
    <t>Belanja Tunjangan Hari Raya
Spesifikasi : Jasa Tenaga Penyuluh Bahasa
Bali  pada Dinas Kebudayaan Provinsi Bali</t>
  </si>
  <si>
    <t>5.1.02.02.001.00026</t>
  </si>
  <si>
    <t>Belanja Jasa Tenaga Administrasi</t>
  </si>
  <si>
    <t>Belanja Jasa Tenaga Layanan Perorangan
Spesifikasi : Jasa Tenaga Administrasi pada
Dinas Kebudayaan Provinsi Bali</t>
  </si>
  <si>
    <t>Belanja Tunjangan Hari Raya
Spesifikasi : Jasa Tenaga Administrasi pada
Dinas Kebudayaan Provinsi Bali</t>
  </si>
  <si>
    <t>Lampiran Nota Dinas Umum dan Kepegawaian</t>
  </si>
  <si>
    <t>Belanja Jasa Tenaga Layanan Perorangan
Spesifikasi : Jasa Tenaga Kebersihan pada
Dinas Kebudayaan Provinsi Bali</t>
  </si>
  <si>
    <t>Belanja Tunjangan Hari Raya
Spesifikasi : Jasa Tenaga Kebersihan pada
Dinas Kebudayaan Provinsi Bali</t>
  </si>
  <si>
    <t>5.1.02.02.001.00031</t>
  </si>
  <si>
    <t>Belanja Jasa Tenaga Keamanan</t>
  </si>
  <si>
    <t>Belanja Jasa Tenaga Layanan Perorangan
Spesifikasi : Jasa Tenaga Keamanan pada
Dinas Kebudayaan Provinsi Bali</t>
  </si>
  <si>
    <t>Belanja Tunjangan Hari Raya
Spesifikasi : Jasa Tenaga Keamanan pada
Dinas Kebudayaan Provinsi Bali</t>
  </si>
  <si>
    <t>5.1.02.02.001.00087</t>
  </si>
  <si>
    <t>Belanja Jasa Pegawai Pemerintah dengan Perjanjian Kerja (PPPK) Paruh Waktu pada Jabatan Pengelola Umum Operasional</t>
  </si>
  <si>
    <t>Belanja jasa PPPK Paruh Waktu
Spesifikasi : Jabatan Pengelola Umum Operasional pada Dinas Kebudayaan Provinsi Bali</t>
  </si>
  <si>
    <t>THR PPPK Paruh Waktu
Spesifikasi : Jabatan Pengelola Umum Operasional pada Dinas Kebudayaan Provinsi Bali</t>
  </si>
  <si>
    <t>5.1.02.02.001.00088</t>
  </si>
  <si>
    <t>Belanja jasa Pegawai Pemerintah dengan Perjanjian Kerja (PPPK) Paruh Waktu pada jabatan operator layanan operasional</t>
  </si>
  <si>
    <t>Belanja jasa PPPK Paruh Waktu
Spesifikasi : Jabatan Operator Layanan Operasional pada Dinas Kebudayaan Provinsi Bali</t>
  </si>
  <si>
    <t>THR PPPK Paruh Waktu
Spesifikasi : Jabatan Operator Layanan Operasional pada Dinas Kebudayaan Provinsi Bali</t>
  </si>
  <si>
    <t>5.1.02.02.001.00090</t>
  </si>
  <si>
    <t>Belanja jasa Pegawai Pemerintah dengan Perjanjian Kerja (PPPK) Paruh Waktu pada jabatan penata layanan operasional</t>
  </si>
  <si>
    <t>Belanja jasa PPPK Paruh Waktu
Spesifikasi : Jabatan Penata Layanan Operasional pada Dinas Kebudayaan Provinsi Bali</t>
  </si>
  <si>
    <t>THR PPPK Paruh Waktu
Spesifikasi : Jabatan Penata Layanan Operasional pada Dinas Kebudayaan Provinsi Bali</t>
  </si>
  <si>
    <t>5.1.02.02.002.00005</t>
  </si>
  <si>
    <t>Belanja Iuran Jaminan Kesehatan bagi Non ASN</t>
  </si>
  <si>
    <t>Iuran Jaminan Kesehatan bagi Jasa Tenaga
Layanan Perorangan Spesifikasi : Jasa Tenaga Kebersihan pada Dinas Kebudayaan Provinsi Bali</t>
  </si>
  <si>
    <t>Iuran Jaminan Kesehatan bagi Jasa Tenaga
Layanan Perorangan Spesifikasi : Jasa Tenaga Keamanan pada Dinas Kebudayaan Provinsi Bali</t>
  </si>
  <si>
    <t>Iuran Jaminan Kesehatan bagi Jasa Tenaga
Layanan Perorangan Spesifikasi : Jasa Tenaga Penyuluh Bahasa Bali pada Dinas Kebudayaan Provinsi Bali</t>
  </si>
  <si>
    <t>Belanja Iuran Jaminan Kecelakaan Kerja bagi Non ASN</t>
  </si>
  <si>
    <t>5.1.02.02.002.00006</t>
  </si>
  <si>
    <t>Iuran Jaminan Kesehatan bagi Jasa Tenaga Layanan Perorangan Spesifikasi : Jasa Tenaga Administrasi pada Dinas Kebudayaan Provinsi Bali</t>
  </si>
  <si>
    <t>Iuran Jaminan Kecelakaan Kerja bagi Jasa
Tenaga Layanan Perorangan Spesifikasi : Jasa Tenaga Penyuluh Bahasa Bali pada Dinas Kebudayaan Provinsi Bali</t>
  </si>
  <si>
    <t>Iuran Jaminan Kecelakaan Kerja bagi Jasa
Tenaga Layanan Perorangan Spesifikasi : Jasa Tenaga Administrasi pada Dinas Kebudayaan Provinsi Bali</t>
  </si>
  <si>
    <t>Iuran Jaminan Kecelakaan Kerja bagi Jasa
Tenaga Layanan Perorangan Spesifikasi : Jasa Tenaga Keamanan pada Dinas Kebudayaan Provinsi Bali</t>
  </si>
  <si>
    <t>Iuran Jaminan Kecelakaan Kerja bagi Jasa
Tenaga Layanan Perorangan Spesifikasi : Jasa Tenaga Kebersihan pada Dinas Kebudayaan Provinsi Bali</t>
  </si>
  <si>
    <t>5.1.02.02.002.00007</t>
  </si>
  <si>
    <t>Belanja Iuran Jaminan Kematian bagi Non ASN</t>
  </si>
  <si>
    <t>Iuran Jaminan Kematian bagi Jasa Tenaga
Layanan Perorangan  Spesifikasi : Jasa Tenaga Kebersihan pada Dinas Kebudayaan Provinsi Bali</t>
  </si>
  <si>
    <t>Iuran Jaminan Kematian bagi Jasa Tenaga
Layanan Perorangan Spesifikasi : Jasa Tenaga Keamanan pada Dinas Kebudayaan Provinsi Bali</t>
  </si>
  <si>
    <t>Iuran Jaminan Kematian bagi Jasa Tenaga Layanan Perorangan Spesifikasi : Jasa Tenaga Penyuluh Bahasa Bali pada Dinas Kebudayaan Provinsi Bali</t>
  </si>
  <si>
    <t>Iuran Jaminan Kematian bagi Jasa Tenaga
Layanan Perorangan Spesifikasi : Jasa Tenaga Administrasi pada Dinas Kebudayaan Provinsi Bali</t>
  </si>
  <si>
    <t>5.1.02.02.002.00010</t>
  </si>
  <si>
    <t>Belanja Iuran Jaminan Hari Tua bagi Non ASN</t>
  </si>
  <si>
    <t>Iuran Jaminan Hari Tua bagi Jasa Tenaga Layanan Perorangan Spesifikasi : Jasa Tenaga Penyuluh Bahasa Bali pada Dinas Kebudayaan Provinsi Bali</t>
  </si>
  <si>
    <t>Iuran Jaminan Hari Tua bagi Jasa Tenaga Layanan Perorangan Spesifikasi : Jasa Tenaga Administrasi pada Dinas Kebudayaan Provinsi Bali</t>
  </si>
  <si>
    <t>Iuran Jaminan Hari Tua bagi Jasa Tenaga
Layanan Perorangan Spesifikasi : Jasa Tenaga Keamanan pada Dinas Kebudayaan Provinsi Bali</t>
  </si>
  <si>
    <t>Iuran Jaminan Hari Tua bagi Jasa Tenaga
Layanan Perorangan Spesifikasi : Jasa Tenaga Kebersihan pada Dinas Kebudayaan Provinsi Bali</t>
  </si>
  <si>
    <t>5.1.02.02.002.00018</t>
  </si>
  <si>
    <t>Belanja Iuran Jaminan Kesehatan bagi PPPK Paruh Waktu pada Jabatan Pengelola Umum Operasional</t>
  </si>
  <si>
    <t>Iuran Jaminan Kesehatan PPPK Paruh Waktu Spesifikasi : Jabatan Pengelola Umum Operasional pada Dinas Kebudayaan Provinsi Bali</t>
  </si>
  <si>
    <t>5.1.02.02.002.00019</t>
  </si>
  <si>
    <t>Belanja Iuran Jaminan Kesehatan bagi PPPK Paruh Waktu pada Jabatan Operator Layanan Operasional</t>
  </si>
  <si>
    <t>5.1.02.02.002.00021</t>
  </si>
  <si>
    <t>Belanja Iuran Jaminan Kesehatan bagi PPPK Paruh Waktu pada Jabatan Penata Layanan Operasional</t>
  </si>
  <si>
    <t>Iuran Jaminan Kesehatan PPPK Paruh Waktu
Spesifikasi : Jabatan Penata Layanan Operasional pada Dinas Kebudayaan Provinsi Bali</t>
  </si>
  <si>
    <t>Iuran Jaminan Kesehatan PPPK Paruh Waktu Spesifikasi : Operator Layanan Operasional pada Dinas Kebudayaan Provinsi Bali</t>
  </si>
  <si>
    <t>5.1.02.02.002.00026</t>
  </si>
  <si>
    <t>Belanja Iuran Jaminan Kecelakaan Kerja bagi PPPK Paruh Waktu pada Jabatan Pengelola Umum Operasional</t>
  </si>
  <si>
    <t>Iuran Jaminan Kecelakaan Kerja PPPK Paruh Waktu Spesifikasi : Jabatan Pengelola Umum Operasional pada Dinas Kebudayaan Provinsi Bali</t>
  </si>
  <si>
    <t>5.1.02.02.002.00027</t>
  </si>
  <si>
    <t>Belanja Iuran Jaminan Kecelakaan Kerja bagi PPPK Paruh Waktu pada Jabatan Operator Layanan Operasional</t>
  </si>
  <si>
    <t>5.1.02.02.002.00029</t>
  </si>
  <si>
    <t>Belanja Iuran Jaminan Kecelakaan Kerja bagi PPPK Paruh Waktu pada Jabatan Penata Layanan Operasional</t>
  </si>
  <si>
    <t>Iuran Jaminan Kecelakaan Kerja PPPK Paruh Waktu Spesifikasi : Jabatan Penata Layanan Operasional pada Dinas Kebudayaan Provinsi Bali</t>
  </si>
  <si>
    <t>Iuran Jaminan Kecelakaan Kerja PPPK Paruh Waktu Spesifikasi : Operator Layanan Operasional pada Dinas Kebudayaan Provinsi Bali</t>
  </si>
  <si>
    <t>5.1.02.02.002.00034</t>
  </si>
  <si>
    <t>Belanja Iuran Jaminan Kematian bagi PPPK Paruh Waktu pada Jabatan Pengelola Umum Operasional</t>
  </si>
  <si>
    <t>5.1.02.02.002.00035</t>
  </si>
  <si>
    <t>Belanja Iuran Jaminan Kematian bagi PPPK Paruh Waktu pada Jabatan Operator Layanan Operasional</t>
  </si>
  <si>
    <t>Iuran Jaminan Kematian PPPK Paruh Waktu Spesifikasi : Jabatan Operator Layanan Operasional pada Dinas Kebudayaan Provinsi Bali</t>
  </si>
  <si>
    <t>Iuran Jaminan Hari Tua PPPK Paruh Waktu Spesifikasi : Jabatan Operator Layanan Operasional pada Dinas Kebudayaan Provinsi Bali</t>
  </si>
  <si>
    <t>Iuran Jaminan Kematian PPPK Paruh Waktu Spesifikasi : Jabatan Pengelola Umum Operasional pada Dinas Kebudayaan Provinsi Bali</t>
  </si>
  <si>
    <t>Iuran Jaminan Hari Tua PPPK Paruh Waktu Spesifikasi : Jabatan Pengelola Umum Operasional pada Dinas Kebudayaan Provinsi Bali</t>
  </si>
  <si>
    <t>5.1.02.02.002.00037</t>
  </si>
  <si>
    <t>Belanja Iuran Jaminan Kematian bagi PPPK Paruh Waktu pada Jabatan Penata Layanan Operasional</t>
  </si>
  <si>
    <t>Iuran Jaminan Hari Tua PPPK Paruh Waktu Spesifikasi : Jabatan Penata Layanan Operasional pada Dinas Kebudayaan Provinsi Bali</t>
  </si>
  <si>
    <t>Iuran Jaminan Kematian PPPK Paruh Waktu Spesifikasi : Jabatan Penata Layanan Operasional pada Dinas Kebudayaan Provinsi Bali</t>
  </si>
  <si>
    <t>Belanja Pemeliharaan Alat Angkutan-Alat Angkutan Darat Bermotor-Kendaraan Dinas Bermotor Perorangan</t>
  </si>
  <si>
    <t>5.1.02.03.002.00035</t>
  </si>
  <si>
    <t>Pemeliharaan Kendaraan Dinas Spesifikasi : Pemeliharaan Kendaraan Dinas Pejabat - Pejabat Eselon II</t>
  </si>
  <si>
    <t>Unit/Tahun</t>
  </si>
  <si>
    <t>5.1.02.03.002.00038</t>
  </si>
  <si>
    <t>Belanja Pemeliharaan Alat Angkutan-Alat Angkutan Darat Bermotor-Kendaraan Bermotor Beroda Dua</t>
  </si>
  <si>
    <t>Pemeliharaan Kendaraan Dinas Spesifikasi : Pemeliharaan Kendaraan Dinas Operasional - Kendaraan Roda 4/ Sejenisnya</t>
  </si>
  <si>
    <t>Pemeliharaan Kendaraan Dinas Spesifikasi : Pemeliharaan Kendaraan Dinas Operasional - Kendaraan Roda 2/ Sejenisnya</t>
  </si>
  <si>
    <t>5.2.03.01.001.00001</t>
  </si>
  <si>
    <t>Belanja Modal Bangunan Gedung Kantor</t>
  </si>
  <si>
    <t>Bangunan Gedung Kantor Spesifikasi : Biaya Perencanaan Konstruksi Bangunan Gedung Unit I pada Dinas Kebudayaan Provinsi Bali</t>
  </si>
  <si>
    <t>-</t>
  </si>
  <si>
    <t>Bangunan Gedung Kantor Spesifikasi : Biaya Perencanaan Konstruksi Bangunan Gedung Unit II pada Dinas Kebudayaan Provinsi Bali</t>
  </si>
  <si>
    <t>TOTAL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</si>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</sst>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  <font>
      <sz val="11"/>
      <color theme="1"/>
      <name val="Arial"/>
      <charset val="134"/>
      <scheme val="minor"/>
    </font>
    <font>
      <sz val="8"/>
      <name val="Arial"/>
      <scheme val="minor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3" fontId="8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0" borderId="2" xfId="0" applyBorder="1"/>
    <xf numFmtId="0" fontId="7" fillId="2" borderId="0" xfId="0" applyFont="1" applyFill="1"/>
    <xf numFmtId="164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vertical="top"/>
    </xf>
    <xf numFmtId="0" fontId="12" fillId="0" borderId="4" xfId="1" applyFont="1" applyBorder="1" applyAlignment="1">
      <alignment horizontal="left" vertical="top" wrapText="1"/>
    </xf>
    <xf numFmtId="0" fontId="12" fillId="0" borderId="4" xfId="0" applyFont="1" applyBorder="1" applyAlignment="1">
      <alignment vertical="top"/>
    </xf>
    <xf numFmtId="0" fontId="5" fillId="0" borderId="4" xfId="0" applyFont="1" applyBorder="1" applyAlignment="1">
      <alignment horizontal="left" vertical="top" wrapText="1"/>
    </xf>
    <xf numFmtId="3" fontId="5" fillId="2" borderId="2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3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top" wrapText="1"/>
    </xf>
    <xf numFmtId="3" fontId="12" fillId="2" borderId="2" xfId="1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top" wrapText="1"/>
    </xf>
    <xf numFmtId="0" fontId="12" fillId="3" borderId="4" xfId="1" applyFont="1" applyFill="1" applyBorder="1" applyAlignment="1">
      <alignment horizontal="left" vertical="top" wrapText="1"/>
    </xf>
    <xf numFmtId="0" fontId="0" fillId="3" borderId="2" xfId="0" applyFill="1" applyBorder="1"/>
    <xf numFmtId="0" fontId="0" fillId="4" borderId="2" xfId="0" applyFill="1" applyBorder="1"/>
    <xf numFmtId="0" fontId="12" fillId="4" borderId="4" xfId="1" applyFont="1" applyFill="1" applyBorder="1" applyAlignment="1">
      <alignment horizontal="left" vertical="top" wrapText="1"/>
    </xf>
    <xf numFmtId="0" fontId="10" fillId="6" borderId="6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5" fillId="3" borderId="4" xfId="1" applyNumberFormat="1" applyFont="1" applyFill="1" applyBorder="1" applyAlignment="1">
      <alignment horizontal="center" vertical="center"/>
    </xf>
    <xf numFmtId="3" fontId="5" fillId="3" borderId="5" xfId="1" applyNumberFormat="1" applyFont="1" applyFill="1" applyBorder="1" applyAlignment="1">
      <alignment horizontal="center" vertical="center"/>
    </xf>
    <xf numFmtId="3" fontId="5" fillId="3" borderId="3" xfId="1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3" fontId="5" fillId="2" borderId="4" xfId="1" applyNumberFormat="1" applyFont="1" applyFill="1" applyBorder="1" applyAlignment="1">
      <alignment horizontal="center" vertical="center"/>
    </xf>
    <xf numFmtId="3" fontId="5" fillId="2" borderId="5" xfId="1" applyNumberFormat="1" applyFont="1" applyFill="1" applyBorder="1" applyAlignment="1">
      <alignment horizontal="center" vertical="center"/>
    </xf>
    <xf numFmtId="3" fontId="5" fillId="2" borderId="3" xfId="1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3" fontId="4" fillId="0" borderId="4" xfId="0" applyNumberFormat="1" applyFont="1" applyBorder="1" applyAlignment="1">
      <alignment horizontal="right" wrapText="1"/>
    </xf>
    <xf numFmtId="3" fontId="4" fillId="0" borderId="5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</cellXfs>
  <cellStyles count="3">
    <cellStyle name="Comma 2" xfId="2" xr:uid="{9D76658A-E5CF-4EB1-8379-3A405C9CDE07}"/>
    <cellStyle name="Normal" xfId="0" builtinId="0"/>
    <cellStyle name="Normal 2" xfId="1" xr:uid="{95D09B0A-655F-4A51-8E88-69253E2FB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8937-4386-4190-9B24-485B9FDA45DE}">
  <dimension ref="A1:R253"/>
  <sheetViews>
    <sheetView tabSelected="1" zoomScaleNormal="100" zoomScaleSheetLayoutView="100" workbookViewId="0">
      <selection activeCell="I92" sqref="I92"/>
    </sheetView>
  </sheetViews>
  <sheetFormatPr defaultRowHeight="12.75"/>
  <cols>
    <col min="1" max="1" width="32.5703125" customWidth="1"/>
    <col min="2" max="2" width="57.28515625" customWidth="1"/>
    <col min="3" max="3" width="12.85546875" customWidth="1"/>
    <col min="4" max="4" width="12.5703125" customWidth="1"/>
    <col min="5" max="5" width="23.28515625" customWidth="1"/>
    <col min="7" max="7" width="21.28515625" customWidth="1"/>
    <col min="8" max="8" width="12.7109375" customWidth="1"/>
    <col min="9" max="9" width="13.28515625" customWidth="1"/>
    <col min="10" max="10" width="21.28515625" customWidth="1"/>
    <col min="11" max="11" width="13.28515625" customWidth="1"/>
    <col min="12" max="12" width="21.28515625" customWidth="1"/>
  </cols>
  <sheetData>
    <row r="1" spans="1:12" ht="18.75">
      <c r="A1" s="26" t="s">
        <v>23</v>
      </c>
      <c r="B1" s="27"/>
      <c r="C1" s="27"/>
      <c r="D1" s="5"/>
      <c r="E1" s="5"/>
      <c r="F1" s="5"/>
      <c r="G1" s="5"/>
      <c r="H1" s="5"/>
      <c r="I1" s="5"/>
      <c r="J1" s="5"/>
      <c r="K1" s="5"/>
      <c r="L1" s="5"/>
    </row>
    <row r="2" spans="1:12" ht="15.75">
      <c r="A2" s="28"/>
      <c r="B2" s="29"/>
      <c r="C2" s="30" t="s">
        <v>12</v>
      </c>
      <c r="D2" s="30"/>
      <c r="E2" s="30"/>
      <c r="F2" s="30"/>
      <c r="G2" s="30"/>
      <c r="H2" s="30" t="s">
        <v>13</v>
      </c>
      <c r="I2" s="30"/>
      <c r="J2" s="30"/>
      <c r="K2" s="30"/>
      <c r="L2" s="30"/>
    </row>
    <row r="3" spans="1:12" ht="15.75">
      <c r="A3" s="23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5" t="s">
        <v>0</v>
      </c>
      <c r="G3" s="25" t="s">
        <v>6</v>
      </c>
      <c r="H3" s="25" t="s">
        <v>3</v>
      </c>
      <c r="I3" s="25" t="s">
        <v>4</v>
      </c>
      <c r="J3" s="25" t="s">
        <v>5</v>
      </c>
      <c r="K3" s="25" t="s">
        <v>0</v>
      </c>
      <c r="L3" s="25" t="s">
        <v>6</v>
      </c>
    </row>
    <row r="4" spans="1:12" ht="30">
      <c r="A4" s="21"/>
      <c r="B4" s="22" t="s">
        <v>10</v>
      </c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30">
      <c r="A5" s="20"/>
      <c r="B5" s="19" t="s">
        <v>14</v>
      </c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">
      <c r="A6" s="9" t="s">
        <v>15</v>
      </c>
      <c r="B6" s="11" t="s">
        <v>16</v>
      </c>
      <c r="C6" s="33"/>
      <c r="D6" s="33"/>
      <c r="E6" s="33"/>
      <c r="F6" s="33"/>
      <c r="G6" s="8">
        <f>G7+G8</f>
        <v>591339712</v>
      </c>
      <c r="H6" s="33"/>
      <c r="I6" s="33"/>
      <c r="J6" s="33"/>
      <c r="K6" s="33"/>
      <c r="L6" s="8">
        <f>L7+L8</f>
        <v>631832128</v>
      </c>
    </row>
    <row r="7" spans="1:12" ht="42.75">
      <c r="A7" s="6"/>
      <c r="B7" s="12" t="s">
        <v>17</v>
      </c>
      <c r="C7" s="7">
        <v>1</v>
      </c>
      <c r="D7" s="7" t="s">
        <v>9</v>
      </c>
      <c r="E7" s="13">
        <v>575339712</v>
      </c>
      <c r="F7" s="7"/>
      <c r="G7" s="13">
        <v>575339712</v>
      </c>
      <c r="H7" s="7">
        <v>1</v>
      </c>
      <c r="I7" s="7" t="s">
        <v>9</v>
      </c>
      <c r="J7" s="13">
        <v>615832128</v>
      </c>
      <c r="K7" s="7"/>
      <c r="L7" s="13">
        <v>615832128</v>
      </c>
    </row>
    <row r="8" spans="1:12" ht="42.75">
      <c r="A8" s="6"/>
      <c r="B8" s="12" t="s">
        <v>18</v>
      </c>
      <c r="C8" s="7">
        <v>1</v>
      </c>
      <c r="D8" s="7" t="s">
        <v>9</v>
      </c>
      <c r="E8" s="13">
        <v>16000000</v>
      </c>
      <c r="F8" s="6"/>
      <c r="G8" s="13">
        <v>16000000</v>
      </c>
      <c r="H8" s="7">
        <v>1</v>
      </c>
      <c r="I8" s="7" t="s">
        <v>9</v>
      </c>
      <c r="J8" s="13">
        <v>16000000</v>
      </c>
      <c r="K8" s="6"/>
      <c r="L8" s="13">
        <v>16000000</v>
      </c>
    </row>
    <row r="9" spans="1:12" ht="15">
      <c r="A9" s="9" t="s">
        <v>19</v>
      </c>
      <c r="B9" s="11" t="s">
        <v>20</v>
      </c>
      <c r="C9" s="34"/>
      <c r="D9" s="34"/>
      <c r="E9" s="34"/>
      <c r="F9" s="34"/>
      <c r="G9" s="8">
        <f>G10+G11</f>
        <v>554380980</v>
      </c>
      <c r="H9" s="34"/>
      <c r="I9" s="34"/>
      <c r="J9" s="34"/>
      <c r="K9" s="34"/>
      <c r="L9" s="8">
        <f>L10+L11</f>
        <v>592342620</v>
      </c>
    </row>
    <row r="10" spans="1:12" ht="42.75">
      <c r="A10" s="6"/>
      <c r="B10" s="12" t="s">
        <v>21</v>
      </c>
      <c r="C10" s="7">
        <v>1</v>
      </c>
      <c r="D10" s="7" t="s">
        <v>9</v>
      </c>
      <c r="E10" s="13">
        <v>539380980</v>
      </c>
      <c r="F10" s="6"/>
      <c r="G10" s="13">
        <v>539380980</v>
      </c>
      <c r="H10" s="7">
        <v>1</v>
      </c>
      <c r="I10" s="7" t="s">
        <v>9</v>
      </c>
      <c r="J10" s="13">
        <v>577342620</v>
      </c>
      <c r="K10" s="6"/>
      <c r="L10" s="13">
        <v>577342620</v>
      </c>
    </row>
    <row r="11" spans="1:12" ht="42.75">
      <c r="A11" s="6"/>
      <c r="B11" s="12" t="s">
        <v>22</v>
      </c>
      <c r="C11" s="7">
        <v>1</v>
      </c>
      <c r="D11" s="7" t="s">
        <v>9</v>
      </c>
      <c r="E11" s="13">
        <v>15000000</v>
      </c>
      <c r="F11" s="6"/>
      <c r="G11" s="13">
        <v>15000000</v>
      </c>
      <c r="H11" s="7">
        <v>1</v>
      </c>
      <c r="I11" s="7" t="s">
        <v>9</v>
      </c>
      <c r="J11" s="13">
        <v>15000000</v>
      </c>
      <c r="K11" s="6"/>
      <c r="L11" s="13">
        <v>15000000</v>
      </c>
    </row>
    <row r="12" spans="1:12" ht="15">
      <c r="A12" s="9" t="s">
        <v>7</v>
      </c>
      <c r="B12" s="10" t="s">
        <v>8</v>
      </c>
      <c r="C12" s="44"/>
      <c r="D12" s="45"/>
      <c r="E12" s="45"/>
      <c r="F12" s="46"/>
      <c r="G12" s="8">
        <f>G13+G14</f>
        <v>147834928</v>
      </c>
      <c r="H12" s="44"/>
      <c r="I12" s="45"/>
      <c r="J12" s="45"/>
      <c r="K12" s="46"/>
      <c r="L12" s="8">
        <f>L13+L14</f>
        <v>157958032</v>
      </c>
    </row>
    <row r="13" spans="1:12" ht="42.75">
      <c r="A13" s="6"/>
      <c r="B13" s="12" t="s">
        <v>24</v>
      </c>
      <c r="C13" s="7">
        <v>1</v>
      </c>
      <c r="D13" s="7" t="s">
        <v>9</v>
      </c>
      <c r="E13" s="13">
        <v>143834928</v>
      </c>
      <c r="F13" s="6"/>
      <c r="G13" s="13">
        <v>143834928</v>
      </c>
      <c r="H13" s="7">
        <v>1</v>
      </c>
      <c r="I13" s="7" t="s">
        <v>9</v>
      </c>
      <c r="J13" s="13">
        <v>153958032</v>
      </c>
      <c r="K13" s="6"/>
      <c r="L13" s="13">
        <v>153958032</v>
      </c>
    </row>
    <row r="14" spans="1:12" ht="42.75">
      <c r="A14" s="6"/>
      <c r="B14" s="12" t="s">
        <v>25</v>
      </c>
      <c r="C14" s="7">
        <v>1</v>
      </c>
      <c r="D14" s="7" t="s">
        <v>9</v>
      </c>
      <c r="E14" s="13">
        <v>4000000</v>
      </c>
      <c r="F14" s="6"/>
      <c r="G14" s="13">
        <v>4000000</v>
      </c>
      <c r="H14" s="7">
        <v>1</v>
      </c>
      <c r="I14" s="7" t="s">
        <v>9</v>
      </c>
      <c r="J14" s="13">
        <v>4000000</v>
      </c>
      <c r="K14" s="6"/>
      <c r="L14" s="13">
        <v>4000000</v>
      </c>
    </row>
    <row r="15" spans="1:12" ht="15">
      <c r="A15" s="9" t="s">
        <v>26</v>
      </c>
      <c r="B15" s="10" t="s">
        <v>27</v>
      </c>
      <c r="C15" s="44"/>
      <c r="D15" s="45"/>
      <c r="E15" s="45"/>
      <c r="F15" s="46"/>
      <c r="G15" s="8">
        <f>G16+G17</f>
        <v>36958732</v>
      </c>
      <c r="H15" s="44"/>
      <c r="I15" s="45"/>
      <c r="J15" s="45"/>
      <c r="K15" s="46"/>
      <c r="L15" s="8">
        <f>L16+L17</f>
        <v>39489508</v>
      </c>
    </row>
    <row r="16" spans="1:12" ht="42.75">
      <c r="A16" s="9"/>
      <c r="B16" s="12" t="s">
        <v>28</v>
      </c>
      <c r="C16" s="7">
        <v>1</v>
      </c>
      <c r="D16" s="7" t="s">
        <v>9</v>
      </c>
      <c r="E16" s="13">
        <v>35958732</v>
      </c>
      <c r="F16" s="6"/>
      <c r="G16" s="13">
        <v>35958732</v>
      </c>
      <c r="H16" s="7">
        <v>1</v>
      </c>
      <c r="I16" s="7" t="s">
        <v>9</v>
      </c>
      <c r="J16" s="13">
        <v>38489508</v>
      </c>
      <c r="K16" s="6"/>
      <c r="L16" s="13">
        <v>38489508</v>
      </c>
    </row>
    <row r="17" spans="1:12" ht="42.75">
      <c r="A17" s="9"/>
      <c r="B17" s="12" t="s">
        <v>29</v>
      </c>
      <c r="C17" s="7">
        <v>1</v>
      </c>
      <c r="D17" s="7" t="s">
        <v>9</v>
      </c>
      <c r="E17" s="13">
        <v>1000000</v>
      </c>
      <c r="F17" s="6"/>
      <c r="G17" s="13">
        <v>1000000</v>
      </c>
      <c r="H17" s="7">
        <v>1</v>
      </c>
      <c r="I17" s="7" t="s">
        <v>9</v>
      </c>
      <c r="J17" s="13">
        <v>1000000</v>
      </c>
      <c r="K17" s="6"/>
      <c r="L17" s="13">
        <v>1000000</v>
      </c>
    </row>
    <row r="18" spans="1:12" ht="45">
      <c r="A18" s="9" t="s">
        <v>30</v>
      </c>
      <c r="B18" s="14" t="s">
        <v>31</v>
      </c>
      <c r="C18" s="38"/>
      <c r="D18" s="39"/>
      <c r="E18" s="39"/>
      <c r="F18" s="40"/>
      <c r="G18" s="15">
        <f>G19+G20</f>
        <v>36958732</v>
      </c>
      <c r="H18" s="44"/>
      <c r="I18" s="45"/>
      <c r="J18" s="45"/>
      <c r="K18" s="46"/>
      <c r="L18" s="15">
        <f>L19+L20</f>
        <v>40000000</v>
      </c>
    </row>
    <row r="19" spans="1:12" ht="42.75">
      <c r="A19" s="9"/>
      <c r="B19" s="12" t="s">
        <v>32</v>
      </c>
      <c r="C19" s="7">
        <v>1</v>
      </c>
      <c r="D19" s="7" t="s">
        <v>9</v>
      </c>
      <c r="E19" s="13">
        <v>35958732</v>
      </c>
      <c r="F19" s="6"/>
      <c r="G19" s="13">
        <v>35958732</v>
      </c>
      <c r="H19" s="7">
        <v>1</v>
      </c>
      <c r="I19" s="7" t="s">
        <v>9</v>
      </c>
      <c r="J19" s="13">
        <v>39000000</v>
      </c>
      <c r="K19" s="6"/>
      <c r="L19" s="13">
        <v>39000000</v>
      </c>
    </row>
    <row r="20" spans="1:12" ht="42.75">
      <c r="A20" s="9"/>
      <c r="B20" s="12" t="s">
        <v>33</v>
      </c>
      <c r="C20" s="7">
        <v>1</v>
      </c>
      <c r="D20" s="7" t="s">
        <v>9</v>
      </c>
      <c r="E20" s="13">
        <v>1000000</v>
      </c>
      <c r="F20" s="6"/>
      <c r="G20" s="13">
        <v>1000000</v>
      </c>
      <c r="H20" s="7">
        <v>1</v>
      </c>
      <c r="I20" s="7" t="s">
        <v>9</v>
      </c>
      <c r="J20" s="13">
        <v>1000000</v>
      </c>
      <c r="K20" s="6"/>
      <c r="L20" s="13">
        <v>1000000</v>
      </c>
    </row>
    <row r="21" spans="1:12" ht="45">
      <c r="A21" s="14" t="s">
        <v>34</v>
      </c>
      <c r="B21" s="14" t="s">
        <v>35</v>
      </c>
      <c r="C21" s="44"/>
      <c r="D21" s="45"/>
      <c r="E21" s="45"/>
      <c r="F21" s="46"/>
      <c r="G21" s="15">
        <f>G22+G23</f>
        <v>554380980</v>
      </c>
      <c r="H21" s="41"/>
      <c r="I21" s="42"/>
      <c r="J21" s="42"/>
      <c r="K21" s="43"/>
      <c r="L21" s="15">
        <f>L22+L23</f>
        <v>600000000</v>
      </c>
    </row>
    <row r="22" spans="1:12" ht="42.75">
      <c r="A22" s="14"/>
      <c r="B22" s="12" t="s">
        <v>36</v>
      </c>
      <c r="C22" s="7">
        <v>1</v>
      </c>
      <c r="D22" s="7" t="s">
        <v>9</v>
      </c>
      <c r="E22" s="13">
        <v>539380980</v>
      </c>
      <c r="F22" s="13"/>
      <c r="G22" s="13">
        <v>539380980</v>
      </c>
      <c r="H22" s="7">
        <v>1</v>
      </c>
      <c r="I22" s="7" t="s">
        <v>9</v>
      </c>
      <c r="J22" s="13">
        <v>585000000</v>
      </c>
      <c r="K22" s="6"/>
      <c r="L22" s="13">
        <v>585000000</v>
      </c>
    </row>
    <row r="23" spans="1:12" ht="42.75">
      <c r="A23" s="14"/>
      <c r="B23" s="12" t="s">
        <v>37</v>
      </c>
      <c r="C23" s="7">
        <v>1</v>
      </c>
      <c r="D23" s="7" t="s">
        <v>9</v>
      </c>
      <c r="E23" s="13">
        <v>15000000</v>
      </c>
      <c r="F23" s="13"/>
      <c r="G23" s="13">
        <v>15000000</v>
      </c>
      <c r="H23" s="7">
        <v>1</v>
      </c>
      <c r="I23" s="7" t="s">
        <v>9</v>
      </c>
      <c r="J23" s="13">
        <v>15000000</v>
      </c>
      <c r="K23" s="6"/>
      <c r="L23" s="13">
        <v>15000000</v>
      </c>
    </row>
    <row r="24" spans="1:12" ht="45">
      <c r="A24" s="14" t="s">
        <v>38</v>
      </c>
      <c r="B24" s="14" t="s">
        <v>39</v>
      </c>
      <c r="C24" s="44"/>
      <c r="D24" s="45"/>
      <c r="E24" s="45"/>
      <c r="F24" s="46"/>
      <c r="G24" s="15">
        <f>G25+G26</f>
        <v>221752392</v>
      </c>
      <c r="H24" s="44"/>
      <c r="I24" s="45"/>
      <c r="J24" s="45"/>
      <c r="K24" s="46"/>
      <c r="L24" s="15">
        <f>L25+L26</f>
        <v>240000000</v>
      </c>
    </row>
    <row r="25" spans="1:12" ht="42.75">
      <c r="A25" s="14"/>
      <c r="B25" s="12" t="s">
        <v>40</v>
      </c>
      <c r="C25" s="7">
        <v>1</v>
      </c>
      <c r="D25" s="7" t="s">
        <v>9</v>
      </c>
      <c r="E25" s="13">
        <v>215752392</v>
      </c>
      <c r="F25" s="6"/>
      <c r="G25" s="13">
        <v>215752392</v>
      </c>
      <c r="H25" s="7">
        <v>1</v>
      </c>
      <c r="I25" s="7" t="s">
        <v>9</v>
      </c>
      <c r="J25" s="13">
        <v>234000000</v>
      </c>
      <c r="K25" s="6"/>
      <c r="L25" s="13">
        <v>234000000</v>
      </c>
    </row>
    <row r="26" spans="1:12" ht="42.75">
      <c r="A26" s="14"/>
      <c r="B26" s="12" t="s">
        <v>41</v>
      </c>
      <c r="C26" s="7">
        <v>1</v>
      </c>
      <c r="D26" s="7" t="s">
        <v>9</v>
      </c>
      <c r="E26" s="13">
        <v>6000000</v>
      </c>
      <c r="F26" s="6"/>
      <c r="G26" s="13">
        <v>6000000</v>
      </c>
      <c r="H26" s="7">
        <v>1</v>
      </c>
      <c r="I26" s="7" t="s">
        <v>9</v>
      </c>
      <c r="J26" s="13">
        <v>6000000</v>
      </c>
      <c r="K26" s="6"/>
      <c r="L26" s="13">
        <v>6000000</v>
      </c>
    </row>
    <row r="27" spans="1:12" ht="15">
      <c r="A27" s="14" t="s">
        <v>42</v>
      </c>
      <c r="B27" s="14" t="s">
        <v>43</v>
      </c>
      <c r="C27" s="44"/>
      <c r="D27" s="45"/>
      <c r="E27" s="45"/>
      <c r="F27" s="46"/>
      <c r="G27" s="15">
        <f>SUM(G28:G31)</f>
        <v>56991600</v>
      </c>
      <c r="H27" s="44"/>
      <c r="I27" s="45"/>
      <c r="J27" s="45"/>
      <c r="K27" s="46"/>
      <c r="L27" s="15">
        <f>SUM(L28:L31)</f>
        <v>60477840</v>
      </c>
    </row>
    <row r="28" spans="1:12" ht="42.75">
      <c r="A28" s="14"/>
      <c r="B28" s="12" t="s">
        <v>44</v>
      </c>
      <c r="C28" s="7">
        <v>1</v>
      </c>
      <c r="D28" s="7" t="s">
        <v>9</v>
      </c>
      <c r="E28" s="13">
        <v>6332400</v>
      </c>
      <c r="F28" s="6"/>
      <c r="G28" s="13">
        <v>6332400</v>
      </c>
      <c r="H28" s="7">
        <v>1</v>
      </c>
      <c r="I28" s="7" t="s">
        <v>9</v>
      </c>
      <c r="J28" s="13">
        <v>6719760</v>
      </c>
      <c r="K28" s="6"/>
      <c r="L28" s="13">
        <v>6719760</v>
      </c>
    </row>
    <row r="29" spans="1:12" ht="42.75">
      <c r="A29" s="14"/>
      <c r="B29" s="12" t="s">
        <v>45</v>
      </c>
      <c r="C29" s="7">
        <v>1</v>
      </c>
      <c r="D29" s="7" t="s">
        <v>9</v>
      </c>
      <c r="E29" s="13">
        <v>1583100</v>
      </c>
      <c r="F29" s="6"/>
      <c r="G29" s="13">
        <v>1583100</v>
      </c>
      <c r="H29" s="7">
        <v>1</v>
      </c>
      <c r="I29" s="7" t="s">
        <v>9</v>
      </c>
      <c r="J29" s="13">
        <v>1679940</v>
      </c>
      <c r="K29" s="6"/>
      <c r="L29" s="13">
        <v>1679940</v>
      </c>
    </row>
    <row r="30" spans="1:12" ht="42.75">
      <c r="A30" s="14"/>
      <c r="B30" s="12" t="s">
        <v>49</v>
      </c>
      <c r="C30" s="7">
        <v>1</v>
      </c>
      <c r="D30" s="7" t="s">
        <v>9</v>
      </c>
      <c r="E30" s="13">
        <v>23746500</v>
      </c>
      <c r="F30" s="6"/>
      <c r="G30" s="13">
        <v>23746500</v>
      </c>
      <c r="H30" s="7">
        <v>1</v>
      </c>
      <c r="I30" s="7" t="s">
        <v>9</v>
      </c>
      <c r="J30" s="13">
        <v>25199100</v>
      </c>
      <c r="K30" s="6"/>
      <c r="L30" s="13">
        <v>25199100</v>
      </c>
    </row>
    <row r="31" spans="1:12" ht="42.75">
      <c r="A31" s="14"/>
      <c r="B31" s="12" t="s">
        <v>46</v>
      </c>
      <c r="C31" s="7">
        <v>1</v>
      </c>
      <c r="D31" s="7" t="s">
        <v>9</v>
      </c>
      <c r="E31" s="13">
        <v>25329600</v>
      </c>
      <c r="F31" s="6"/>
      <c r="G31" s="13">
        <v>25329600</v>
      </c>
      <c r="H31" s="7">
        <v>1</v>
      </c>
      <c r="I31" s="7" t="s">
        <v>9</v>
      </c>
      <c r="J31" s="13">
        <v>26879040</v>
      </c>
      <c r="K31" s="6"/>
      <c r="L31" s="13">
        <v>26879040</v>
      </c>
    </row>
    <row r="32" spans="1:12" ht="16.5" customHeight="1">
      <c r="A32" s="16" t="s">
        <v>48</v>
      </c>
      <c r="B32" s="14" t="s">
        <v>47</v>
      </c>
      <c r="C32" s="44"/>
      <c r="D32" s="45"/>
      <c r="E32" s="45"/>
      <c r="F32" s="46"/>
      <c r="G32" s="15">
        <f>SUM(G33:G36)</f>
        <v>3106944</v>
      </c>
      <c r="H32" s="15"/>
      <c r="I32" s="15"/>
      <c r="J32" s="15"/>
      <c r="K32" s="15"/>
      <c r="L32" s="15">
        <f>SUM(L33:L36)</f>
        <v>3325536</v>
      </c>
    </row>
    <row r="33" spans="1:12" ht="42.75">
      <c r="A33" s="16"/>
      <c r="B33" s="12" t="s">
        <v>53</v>
      </c>
      <c r="C33" s="7">
        <v>1</v>
      </c>
      <c r="D33" s="7" t="s">
        <v>9</v>
      </c>
      <c r="E33" s="13">
        <v>345216</v>
      </c>
      <c r="F33" s="6"/>
      <c r="G33" s="13">
        <v>345216</v>
      </c>
      <c r="H33" s="7">
        <v>1</v>
      </c>
      <c r="I33" s="7" t="s">
        <v>9</v>
      </c>
      <c r="J33" s="13">
        <v>369504</v>
      </c>
      <c r="K33" s="6"/>
      <c r="L33" s="13">
        <v>369504</v>
      </c>
    </row>
    <row r="34" spans="1:12" ht="42.75">
      <c r="A34" s="14"/>
      <c r="B34" s="12" t="s">
        <v>52</v>
      </c>
      <c r="C34" s="7">
        <v>1</v>
      </c>
      <c r="D34" s="7" t="s">
        <v>9</v>
      </c>
      <c r="E34" s="13">
        <v>86304</v>
      </c>
      <c r="F34" s="6"/>
      <c r="G34" s="13">
        <v>86304</v>
      </c>
      <c r="H34" s="7">
        <v>1</v>
      </c>
      <c r="I34" s="7" t="s">
        <v>9</v>
      </c>
      <c r="J34" s="13">
        <v>92376</v>
      </c>
      <c r="K34" s="6"/>
      <c r="L34" s="13">
        <v>92376</v>
      </c>
    </row>
    <row r="35" spans="1:12" ht="42.75">
      <c r="A35" s="14"/>
      <c r="B35" s="12" t="s">
        <v>51</v>
      </c>
      <c r="C35" s="7">
        <v>1</v>
      </c>
      <c r="D35" s="7" t="s">
        <v>9</v>
      </c>
      <c r="E35" s="13">
        <v>1294560</v>
      </c>
      <c r="F35" s="6"/>
      <c r="G35" s="13">
        <v>1294560</v>
      </c>
      <c r="H35" s="7">
        <v>1</v>
      </c>
      <c r="I35" s="7" t="s">
        <v>9</v>
      </c>
      <c r="J35" s="13">
        <v>1385640</v>
      </c>
      <c r="K35" s="6"/>
      <c r="L35" s="13">
        <v>1385640</v>
      </c>
    </row>
    <row r="36" spans="1:12" ht="44.25" customHeight="1">
      <c r="A36" s="14"/>
      <c r="B36" s="12" t="s">
        <v>50</v>
      </c>
      <c r="C36" s="7">
        <v>1</v>
      </c>
      <c r="D36" s="7" t="s">
        <v>9</v>
      </c>
      <c r="E36" s="13">
        <v>1380864</v>
      </c>
      <c r="F36" s="6"/>
      <c r="G36" s="13">
        <v>1380864</v>
      </c>
      <c r="H36" s="7">
        <v>1</v>
      </c>
      <c r="I36" s="7" t="s">
        <v>9</v>
      </c>
      <c r="J36" s="13">
        <v>1478016</v>
      </c>
      <c r="K36" s="6"/>
      <c r="L36" s="13">
        <v>1478016</v>
      </c>
    </row>
    <row r="37" spans="1:12" ht="15">
      <c r="A37" s="14" t="s">
        <v>54</v>
      </c>
      <c r="B37" s="14" t="s">
        <v>55</v>
      </c>
      <c r="C37" s="44"/>
      <c r="D37" s="45"/>
      <c r="E37" s="45"/>
      <c r="F37" s="46"/>
      <c r="G37" s="15">
        <f>SUM(G38:G41)</f>
        <v>3883680</v>
      </c>
      <c r="H37" s="44"/>
      <c r="I37" s="45"/>
      <c r="J37" s="45"/>
      <c r="K37" s="46"/>
      <c r="L37" s="15">
        <f>SUM(L38:L41)</f>
        <v>4157136</v>
      </c>
    </row>
    <row r="38" spans="1:12" ht="42.75">
      <c r="A38" s="14"/>
      <c r="B38" s="12" t="s">
        <v>56</v>
      </c>
      <c r="C38" s="7">
        <v>1</v>
      </c>
      <c r="D38" s="7" t="s">
        <v>9</v>
      </c>
      <c r="E38" s="13">
        <v>431520</v>
      </c>
      <c r="F38" s="6"/>
      <c r="G38" s="13">
        <v>431520</v>
      </c>
      <c r="H38" s="7">
        <v>1</v>
      </c>
      <c r="I38" s="7" t="s">
        <v>9</v>
      </c>
      <c r="J38" s="13">
        <v>461904</v>
      </c>
      <c r="K38" s="6"/>
      <c r="L38" s="13">
        <v>461904</v>
      </c>
    </row>
    <row r="39" spans="1:12" ht="42.75">
      <c r="A39" s="14"/>
      <c r="B39" s="12" t="s">
        <v>57</v>
      </c>
      <c r="C39" s="7">
        <v>1</v>
      </c>
      <c r="D39" s="7" t="s">
        <v>9</v>
      </c>
      <c r="E39" s="13">
        <v>107880</v>
      </c>
      <c r="F39" s="6"/>
      <c r="G39" s="13">
        <v>107880</v>
      </c>
      <c r="H39" s="7">
        <v>1</v>
      </c>
      <c r="I39" s="7" t="s">
        <v>9</v>
      </c>
      <c r="J39" s="13">
        <v>115476</v>
      </c>
      <c r="K39" s="6"/>
      <c r="L39" s="13">
        <v>115476</v>
      </c>
    </row>
    <row r="40" spans="1:12" ht="42.75">
      <c r="A40" s="14"/>
      <c r="B40" s="12" t="s">
        <v>59</v>
      </c>
      <c r="C40" s="7">
        <v>1</v>
      </c>
      <c r="D40" s="7" t="s">
        <v>9</v>
      </c>
      <c r="E40" s="13">
        <v>1618200</v>
      </c>
      <c r="F40" s="6"/>
      <c r="G40" s="13">
        <v>1618200</v>
      </c>
      <c r="H40" s="7">
        <v>1</v>
      </c>
      <c r="I40" s="7" t="s">
        <v>9</v>
      </c>
      <c r="J40" s="13">
        <v>1732140</v>
      </c>
      <c r="K40" s="6"/>
      <c r="L40" s="13">
        <v>1732140</v>
      </c>
    </row>
    <row r="41" spans="1:12" ht="42.75">
      <c r="A41" s="14"/>
      <c r="B41" s="12" t="s">
        <v>58</v>
      </c>
      <c r="C41" s="7">
        <v>1</v>
      </c>
      <c r="D41" s="7" t="s">
        <v>9</v>
      </c>
      <c r="E41" s="13">
        <v>1726080</v>
      </c>
      <c r="F41" s="6"/>
      <c r="G41" s="13">
        <v>1726080</v>
      </c>
      <c r="H41" s="7">
        <v>1</v>
      </c>
      <c r="I41" s="7" t="s">
        <v>9</v>
      </c>
      <c r="J41" s="13">
        <v>1847616</v>
      </c>
      <c r="K41" s="6"/>
      <c r="L41" s="13">
        <v>1847616</v>
      </c>
    </row>
    <row r="42" spans="1:12" ht="15">
      <c r="A42" s="14" t="s">
        <v>60</v>
      </c>
      <c r="B42" s="14" t="s">
        <v>61</v>
      </c>
      <c r="C42" s="44"/>
      <c r="D42" s="45"/>
      <c r="E42" s="45"/>
      <c r="F42" s="46"/>
      <c r="G42" s="15">
        <f>SUM(G43:G46)</f>
        <v>47897136</v>
      </c>
      <c r="H42" s="15"/>
      <c r="I42" s="15"/>
      <c r="J42" s="15"/>
      <c r="K42" s="15"/>
      <c r="L42" s="15">
        <f>SUM(L43:L46)</f>
        <v>51269760</v>
      </c>
    </row>
    <row r="43" spans="1:12" ht="42.75">
      <c r="A43" s="14"/>
      <c r="B43" s="12" t="s">
        <v>65</v>
      </c>
      <c r="C43" s="7">
        <v>1</v>
      </c>
      <c r="D43" s="7" t="s">
        <v>9</v>
      </c>
      <c r="E43" s="13">
        <v>5321904</v>
      </c>
      <c r="F43" s="6"/>
      <c r="G43" s="13">
        <v>5321904</v>
      </c>
      <c r="H43" s="7">
        <v>1</v>
      </c>
      <c r="I43" s="7" t="s">
        <v>9</v>
      </c>
      <c r="J43" s="13">
        <v>5696640</v>
      </c>
      <c r="K43" s="6"/>
      <c r="L43" s="13">
        <v>5696640</v>
      </c>
    </row>
    <row r="44" spans="1:12" ht="42.75">
      <c r="A44" s="14"/>
      <c r="B44" s="12" t="s">
        <v>64</v>
      </c>
      <c r="C44" s="7">
        <v>1</v>
      </c>
      <c r="D44" s="7" t="s">
        <v>9</v>
      </c>
      <c r="E44" s="13">
        <v>1330476</v>
      </c>
      <c r="F44" s="6"/>
      <c r="G44" s="13">
        <v>1330476</v>
      </c>
      <c r="H44" s="7">
        <v>1</v>
      </c>
      <c r="I44" s="7" t="s">
        <v>9</v>
      </c>
      <c r="J44" s="13">
        <v>1424160</v>
      </c>
      <c r="K44" s="6"/>
      <c r="L44" s="13">
        <v>1424160</v>
      </c>
    </row>
    <row r="45" spans="1:12" ht="42.75">
      <c r="A45" s="14"/>
      <c r="B45" s="12" t="s">
        <v>63</v>
      </c>
      <c r="C45" s="7">
        <v>1</v>
      </c>
      <c r="D45" s="7" t="s">
        <v>9</v>
      </c>
      <c r="E45" s="13">
        <v>19957140</v>
      </c>
      <c r="F45" s="6"/>
      <c r="G45" s="13">
        <v>19957140</v>
      </c>
      <c r="H45" s="7">
        <v>1</v>
      </c>
      <c r="I45" s="7" t="s">
        <v>9</v>
      </c>
      <c r="J45" s="13">
        <v>21362400</v>
      </c>
      <c r="K45" s="6"/>
      <c r="L45" s="13">
        <v>21362400</v>
      </c>
    </row>
    <row r="46" spans="1:12" ht="42.75">
      <c r="A46" s="14"/>
      <c r="B46" s="12" t="s">
        <v>62</v>
      </c>
      <c r="C46" s="7">
        <v>1</v>
      </c>
      <c r="D46" s="7" t="s">
        <v>9</v>
      </c>
      <c r="E46" s="13">
        <v>21287616</v>
      </c>
      <c r="F46" s="6"/>
      <c r="G46" s="13">
        <v>21287616</v>
      </c>
      <c r="H46" s="7">
        <v>1</v>
      </c>
      <c r="I46" s="7" t="s">
        <v>9</v>
      </c>
      <c r="J46" s="13">
        <v>22786560</v>
      </c>
      <c r="K46" s="6"/>
      <c r="L46" s="13">
        <v>22786560</v>
      </c>
    </row>
    <row r="47" spans="1:12" ht="30">
      <c r="A47" s="14" t="s">
        <v>66</v>
      </c>
      <c r="B47" s="14" t="s">
        <v>67</v>
      </c>
      <c r="C47" s="38"/>
      <c r="D47" s="39"/>
      <c r="E47" s="39"/>
      <c r="F47" s="40"/>
      <c r="G47" s="15">
        <f>G48</f>
        <v>1583100</v>
      </c>
      <c r="H47" s="41"/>
      <c r="I47" s="42"/>
      <c r="J47" s="42"/>
      <c r="K47" s="43"/>
      <c r="L47" s="17">
        <v>1679940</v>
      </c>
    </row>
    <row r="48" spans="1:12" ht="42.75">
      <c r="A48" s="14"/>
      <c r="B48" s="12" t="s">
        <v>68</v>
      </c>
      <c r="C48" s="7">
        <v>1</v>
      </c>
      <c r="D48" s="7" t="s">
        <v>9</v>
      </c>
      <c r="E48" s="13">
        <v>1583100</v>
      </c>
      <c r="F48" s="6"/>
      <c r="G48" s="13">
        <v>1583100</v>
      </c>
      <c r="H48" s="7">
        <v>1</v>
      </c>
      <c r="I48" s="7" t="s">
        <v>9</v>
      </c>
      <c r="J48" s="13">
        <v>1679940</v>
      </c>
      <c r="K48" s="6"/>
      <c r="L48" s="13">
        <v>1679940</v>
      </c>
    </row>
    <row r="49" spans="1:12" ht="30">
      <c r="A49" s="14" t="s">
        <v>69</v>
      </c>
      <c r="B49" s="14" t="s">
        <v>70</v>
      </c>
      <c r="C49" s="38"/>
      <c r="D49" s="39"/>
      <c r="E49" s="39"/>
      <c r="F49" s="40"/>
      <c r="G49" s="15">
        <v>23746500</v>
      </c>
      <c r="H49" s="38"/>
      <c r="I49" s="39"/>
      <c r="J49" s="39"/>
      <c r="K49" s="40"/>
      <c r="L49" s="15">
        <v>25199100</v>
      </c>
    </row>
    <row r="50" spans="1:12" ht="42.75">
      <c r="A50" s="14"/>
      <c r="B50" s="12" t="s">
        <v>74</v>
      </c>
      <c r="C50" s="7">
        <v>1</v>
      </c>
      <c r="D50" s="7" t="s">
        <v>9</v>
      </c>
      <c r="E50" s="13">
        <v>23746500</v>
      </c>
      <c r="F50" s="6"/>
      <c r="G50" s="13">
        <v>23746500</v>
      </c>
      <c r="H50" s="7">
        <v>1</v>
      </c>
      <c r="I50" s="7" t="s">
        <v>9</v>
      </c>
      <c r="J50" s="13">
        <v>25199100</v>
      </c>
      <c r="K50" s="6"/>
      <c r="L50" s="13">
        <v>25199100</v>
      </c>
    </row>
    <row r="51" spans="1:12" ht="30">
      <c r="A51" s="14" t="s">
        <v>71</v>
      </c>
      <c r="B51" s="14" t="s">
        <v>72</v>
      </c>
      <c r="C51" s="38"/>
      <c r="D51" s="39"/>
      <c r="E51" s="39"/>
      <c r="F51" s="40"/>
      <c r="G51" s="15">
        <v>9498600</v>
      </c>
      <c r="H51" s="38"/>
      <c r="I51" s="39"/>
      <c r="J51" s="39"/>
      <c r="K51" s="40"/>
      <c r="L51" s="15">
        <v>10079640</v>
      </c>
    </row>
    <row r="52" spans="1:12" ht="42.75">
      <c r="A52" s="14"/>
      <c r="B52" s="12" t="s">
        <v>73</v>
      </c>
      <c r="C52" s="7">
        <v>1</v>
      </c>
      <c r="D52" s="7" t="s">
        <v>9</v>
      </c>
      <c r="E52" s="13">
        <v>9498600</v>
      </c>
      <c r="F52" s="6"/>
      <c r="G52" s="13">
        <v>9498600</v>
      </c>
      <c r="H52" s="7">
        <v>1</v>
      </c>
      <c r="I52" s="7" t="s">
        <v>9</v>
      </c>
      <c r="J52" s="13">
        <v>10079640</v>
      </c>
      <c r="K52" s="6"/>
      <c r="L52" s="13">
        <v>10079640</v>
      </c>
    </row>
    <row r="53" spans="1:12" ht="45">
      <c r="A53" s="14" t="s">
        <v>75</v>
      </c>
      <c r="B53" s="14" t="s">
        <v>76</v>
      </c>
      <c r="C53" s="38"/>
      <c r="D53" s="39"/>
      <c r="E53" s="39"/>
      <c r="F53" s="40"/>
      <c r="G53" s="15">
        <v>86304</v>
      </c>
      <c r="H53" s="41"/>
      <c r="I53" s="42"/>
      <c r="J53" s="42"/>
      <c r="K53" s="43"/>
      <c r="L53" s="15">
        <v>93600</v>
      </c>
    </row>
    <row r="54" spans="1:12" ht="42.75">
      <c r="A54" s="14"/>
      <c r="B54" s="12" t="s">
        <v>77</v>
      </c>
      <c r="C54" s="7">
        <v>1</v>
      </c>
      <c r="D54" s="7" t="s">
        <v>9</v>
      </c>
      <c r="E54" s="13">
        <v>86304</v>
      </c>
      <c r="F54" s="13"/>
      <c r="G54" s="13">
        <v>86304</v>
      </c>
      <c r="H54" s="13">
        <v>1</v>
      </c>
      <c r="I54" s="13" t="s">
        <v>9</v>
      </c>
      <c r="J54" s="13">
        <v>93600</v>
      </c>
      <c r="K54" s="13"/>
      <c r="L54" s="13">
        <v>93600</v>
      </c>
    </row>
    <row r="55" spans="1:12" ht="45">
      <c r="A55" s="14" t="s">
        <v>78</v>
      </c>
      <c r="B55" s="14" t="s">
        <v>79</v>
      </c>
      <c r="C55" s="47"/>
      <c r="D55" s="48"/>
      <c r="E55" s="48"/>
      <c r="F55" s="49"/>
      <c r="G55" s="15">
        <v>1294560</v>
      </c>
      <c r="H55" s="38"/>
      <c r="I55" s="39"/>
      <c r="J55" s="39"/>
      <c r="K55" s="40"/>
      <c r="L55" s="15">
        <v>1404000</v>
      </c>
    </row>
    <row r="56" spans="1:12" ht="42.75">
      <c r="A56" s="14"/>
      <c r="B56" s="12" t="s">
        <v>83</v>
      </c>
      <c r="C56" s="13">
        <v>1</v>
      </c>
      <c r="D56" s="13" t="s">
        <v>9</v>
      </c>
      <c r="E56" s="13">
        <v>1294560</v>
      </c>
      <c r="F56" s="13"/>
      <c r="G56" s="13">
        <v>1294560</v>
      </c>
      <c r="H56" s="7">
        <v>1</v>
      </c>
      <c r="I56" s="7" t="s">
        <v>9</v>
      </c>
      <c r="J56" s="13">
        <v>1404000</v>
      </c>
      <c r="K56" s="13"/>
      <c r="L56" s="13">
        <v>1404000</v>
      </c>
    </row>
    <row r="57" spans="1:12" ht="33" customHeight="1">
      <c r="A57" s="14" t="s">
        <v>80</v>
      </c>
      <c r="B57" s="14" t="s">
        <v>81</v>
      </c>
      <c r="C57" s="44"/>
      <c r="D57" s="45"/>
      <c r="E57" s="45"/>
      <c r="F57" s="46"/>
      <c r="G57" s="15">
        <v>517824</v>
      </c>
      <c r="H57" s="44"/>
      <c r="I57" s="45"/>
      <c r="J57" s="45"/>
      <c r="K57" s="46"/>
      <c r="L57" s="15">
        <v>561600</v>
      </c>
    </row>
    <row r="58" spans="1:12" ht="42.75">
      <c r="A58" s="14"/>
      <c r="B58" s="12" t="s">
        <v>82</v>
      </c>
      <c r="C58" s="13">
        <v>1</v>
      </c>
      <c r="D58" s="13" t="s">
        <v>9</v>
      </c>
      <c r="E58" s="13">
        <v>517824</v>
      </c>
      <c r="F58" s="13"/>
      <c r="G58" s="13">
        <v>517824</v>
      </c>
      <c r="H58" s="13">
        <v>1</v>
      </c>
      <c r="I58" s="13" t="s">
        <v>9</v>
      </c>
      <c r="J58" s="13">
        <v>561600</v>
      </c>
      <c r="K58" s="13"/>
      <c r="L58" s="13">
        <v>561600</v>
      </c>
    </row>
    <row r="59" spans="1:12" ht="30">
      <c r="A59" s="14" t="s">
        <v>84</v>
      </c>
      <c r="B59" s="14" t="s">
        <v>85</v>
      </c>
      <c r="C59" s="44"/>
      <c r="D59" s="45"/>
      <c r="E59" s="45"/>
      <c r="F59" s="46"/>
      <c r="G59" s="15">
        <f>G60+G61</f>
        <v>1438356</v>
      </c>
      <c r="H59" s="44"/>
      <c r="I59" s="45"/>
      <c r="J59" s="45"/>
      <c r="K59" s="46"/>
      <c r="L59" s="15">
        <f>L60+L61</f>
        <v>1560000</v>
      </c>
    </row>
    <row r="60" spans="1:12" ht="42.75">
      <c r="A60" s="14"/>
      <c r="B60" s="12" t="s">
        <v>91</v>
      </c>
      <c r="C60" s="13">
        <v>1</v>
      </c>
      <c r="D60" s="13" t="s">
        <v>9</v>
      </c>
      <c r="E60" s="13">
        <v>1330476</v>
      </c>
      <c r="F60" s="6"/>
      <c r="G60" s="13">
        <v>1330476</v>
      </c>
      <c r="H60" s="13">
        <v>1</v>
      </c>
      <c r="I60" s="13" t="s">
        <v>9</v>
      </c>
      <c r="J60" s="13">
        <v>1443000</v>
      </c>
      <c r="K60" s="13"/>
      <c r="L60" s="13">
        <v>1443000</v>
      </c>
    </row>
    <row r="61" spans="1:12" ht="42.75">
      <c r="A61" s="9"/>
      <c r="B61" s="12" t="s">
        <v>90</v>
      </c>
      <c r="C61" s="13">
        <v>1</v>
      </c>
      <c r="D61" s="13" t="s">
        <v>9</v>
      </c>
      <c r="E61" s="13">
        <v>107880</v>
      </c>
      <c r="F61" s="13"/>
      <c r="G61" s="13">
        <v>107880</v>
      </c>
      <c r="H61" s="13">
        <v>1</v>
      </c>
      <c r="I61" s="13" t="s">
        <v>9</v>
      </c>
      <c r="J61" s="13">
        <v>117000</v>
      </c>
      <c r="K61" s="13"/>
      <c r="L61" s="13">
        <v>117000</v>
      </c>
    </row>
    <row r="62" spans="1:12" ht="30">
      <c r="A62" s="14" t="s">
        <v>86</v>
      </c>
      <c r="B62" s="14" t="s">
        <v>87</v>
      </c>
      <c r="C62" s="44"/>
      <c r="D62" s="45"/>
      <c r="E62" s="45"/>
      <c r="F62" s="46"/>
      <c r="G62" s="15">
        <f>G63+G64</f>
        <v>21575340</v>
      </c>
      <c r="H62" s="44"/>
      <c r="I62" s="45"/>
      <c r="J62" s="45"/>
      <c r="K62" s="46"/>
      <c r="L62" s="15">
        <f>L63+L64</f>
        <v>23400000</v>
      </c>
    </row>
    <row r="63" spans="1:12" ht="42.75">
      <c r="A63" s="6"/>
      <c r="B63" s="12" t="s">
        <v>89</v>
      </c>
      <c r="C63" s="13">
        <v>1</v>
      </c>
      <c r="D63" s="13" t="s">
        <v>9</v>
      </c>
      <c r="E63" s="13">
        <v>19957140</v>
      </c>
      <c r="F63" s="6"/>
      <c r="G63" s="13">
        <v>19957140</v>
      </c>
      <c r="H63" s="13">
        <v>1</v>
      </c>
      <c r="I63" s="13" t="s">
        <v>9</v>
      </c>
      <c r="J63" s="13">
        <v>21645000</v>
      </c>
      <c r="K63" s="13"/>
      <c r="L63" s="13">
        <v>21645000</v>
      </c>
    </row>
    <row r="64" spans="1:12" ht="42.75">
      <c r="A64" s="6"/>
      <c r="B64" s="12" t="s">
        <v>88</v>
      </c>
      <c r="C64" s="13">
        <v>1</v>
      </c>
      <c r="D64" s="13" t="s">
        <v>9</v>
      </c>
      <c r="E64" s="13">
        <v>1618200</v>
      </c>
      <c r="F64" s="6"/>
      <c r="G64" s="13">
        <v>1618200</v>
      </c>
      <c r="H64" s="13">
        <v>1</v>
      </c>
      <c r="I64" s="13" t="s">
        <v>9</v>
      </c>
      <c r="J64" s="13">
        <v>1755000</v>
      </c>
      <c r="K64" s="13"/>
      <c r="L64" s="13">
        <v>1755000</v>
      </c>
    </row>
    <row r="65" spans="1:12" ht="30">
      <c r="A65" s="14" t="s">
        <v>92</v>
      </c>
      <c r="B65" s="14" t="s">
        <v>93</v>
      </c>
      <c r="C65" s="44"/>
      <c r="D65" s="45"/>
      <c r="E65" s="45"/>
      <c r="F65" s="46"/>
      <c r="G65" s="15">
        <f>G66+G67</f>
        <v>8630136</v>
      </c>
      <c r="H65" s="44"/>
      <c r="I65" s="45"/>
      <c r="J65" s="45"/>
      <c r="K65" s="46"/>
      <c r="L65" s="15">
        <f>L66+L67</f>
        <v>9360000</v>
      </c>
    </row>
    <row r="66" spans="1:12" ht="42.75">
      <c r="A66" s="14"/>
      <c r="B66" s="12" t="s">
        <v>94</v>
      </c>
      <c r="C66" s="13">
        <v>1</v>
      </c>
      <c r="D66" s="13" t="s">
        <v>9</v>
      </c>
      <c r="E66" s="13">
        <v>7982856</v>
      </c>
      <c r="F66" s="13"/>
      <c r="G66" s="13">
        <v>7982856</v>
      </c>
      <c r="H66" s="13">
        <v>1</v>
      </c>
      <c r="I66" s="13" t="s">
        <v>9</v>
      </c>
      <c r="J66" s="13">
        <v>8658000</v>
      </c>
      <c r="K66" s="2"/>
      <c r="L66" s="13">
        <v>8658000</v>
      </c>
    </row>
    <row r="67" spans="1:12" ht="42.75">
      <c r="A67" s="14"/>
      <c r="B67" s="12" t="s">
        <v>95</v>
      </c>
      <c r="C67" s="13">
        <v>1</v>
      </c>
      <c r="D67" s="13" t="s">
        <v>9</v>
      </c>
      <c r="E67" s="13">
        <v>647280</v>
      </c>
      <c r="F67" s="13"/>
      <c r="G67" s="13">
        <v>647280</v>
      </c>
      <c r="H67" s="13">
        <v>1</v>
      </c>
      <c r="I67" s="13" t="s">
        <v>9</v>
      </c>
      <c r="J67" s="13">
        <v>702000</v>
      </c>
      <c r="K67" s="2"/>
      <c r="L67" s="13">
        <v>702000</v>
      </c>
    </row>
    <row r="68" spans="1:12" ht="30">
      <c r="A68" s="18"/>
      <c r="B68" s="19" t="s">
        <v>11</v>
      </c>
      <c r="C68" s="35"/>
      <c r="D68" s="36"/>
      <c r="E68" s="36"/>
      <c r="F68" s="36"/>
      <c r="G68" s="36"/>
      <c r="H68" s="36"/>
      <c r="I68" s="36"/>
      <c r="J68" s="36"/>
      <c r="K68" s="36"/>
      <c r="L68" s="37"/>
    </row>
    <row r="69" spans="1:12" ht="32.25" customHeight="1">
      <c r="A69" s="14" t="s">
        <v>97</v>
      </c>
      <c r="B69" s="14" t="s">
        <v>96</v>
      </c>
      <c r="C69" s="47"/>
      <c r="D69" s="48"/>
      <c r="E69" s="48"/>
      <c r="F69" s="49"/>
      <c r="G69" s="15">
        <f>G70+G71</f>
        <v>112000000</v>
      </c>
      <c r="H69" s="47"/>
      <c r="I69" s="48"/>
      <c r="J69" s="48"/>
      <c r="K69" s="49"/>
      <c r="L69" s="15">
        <f>L70+L71</f>
        <v>148000000</v>
      </c>
    </row>
    <row r="70" spans="1:12" ht="28.5">
      <c r="A70" s="14"/>
      <c r="B70" s="12" t="s">
        <v>98</v>
      </c>
      <c r="C70" s="13">
        <v>1</v>
      </c>
      <c r="D70" s="13" t="s">
        <v>99</v>
      </c>
      <c r="E70" s="13">
        <v>22000000</v>
      </c>
      <c r="F70" s="13"/>
      <c r="G70" s="13">
        <v>22000000</v>
      </c>
      <c r="H70" s="13">
        <v>1</v>
      </c>
      <c r="I70" s="13" t="s">
        <v>99</v>
      </c>
      <c r="J70" s="13">
        <v>22000000</v>
      </c>
      <c r="K70" s="2"/>
      <c r="L70" s="13">
        <v>22000000</v>
      </c>
    </row>
    <row r="71" spans="1:12" ht="42.75">
      <c r="A71" s="14"/>
      <c r="B71" s="12" t="s">
        <v>102</v>
      </c>
      <c r="C71" s="13">
        <v>5</v>
      </c>
      <c r="D71" s="13" t="s">
        <v>99</v>
      </c>
      <c r="E71" s="13">
        <v>18000000</v>
      </c>
      <c r="F71" s="13"/>
      <c r="G71" s="13">
        <v>90000000</v>
      </c>
      <c r="H71" s="13">
        <v>7</v>
      </c>
      <c r="I71" s="13" t="s">
        <v>99</v>
      </c>
      <c r="J71" s="13">
        <v>18000000</v>
      </c>
      <c r="K71" s="2"/>
      <c r="L71" s="13">
        <v>126000000</v>
      </c>
    </row>
    <row r="72" spans="1:12" ht="30">
      <c r="A72" s="14" t="s">
        <v>100</v>
      </c>
      <c r="B72" s="16" t="s">
        <v>101</v>
      </c>
      <c r="C72" s="45"/>
      <c r="D72" s="45"/>
      <c r="E72" s="45"/>
      <c r="F72" s="46"/>
      <c r="G72" s="15">
        <v>11200000</v>
      </c>
      <c r="H72" s="47"/>
      <c r="I72" s="48"/>
      <c r="J72" s="48"/>
      <c r="K72" s="49"/>
      <c r="L72" s="15">
        <v>16800000</v>
      </c>
    </row>
    <row r="73" spans="1:12" ht="42.75">
      <c r="A73" s="14"/>
      <c r="B73" s="12" t="s">
        <v>103</v>
      </c>
      <c r="C73" s="13">
        <v>4</v>
      </c>
      <c r="D73" s="13" t="s">
        <v>99</v>
      </c>
      <c r="E73" s="13">
        <v>2800000</v>
      </c>
      <c r="F73" s="13"/>
      <c r="G73" s="13">
        <v>11200000</v>
      </c>
      <c r="H73" s="13">
        <v>6</v>
      </c>
      <c r="I73" s="13" t="s">
        <v>99</v>
      </c>
      <c r="J73" s="13">
        <v>2800000</v>
      </c>
      <c r="K73" s="2"/>
      <c r="L73" s="13">
        <v>16800000</v>
      </c>
    </row>
    <row r="74" spans="1:12" ht="15">
      <c r="A74" s="14" t="s">
        <v>104</v>
      </c>
      <c r="B74" s="16" t="s">
        <v>105</v>
      </c>
      <c r="C74" s="47"/>
      <c r="D74" s="48"/>
      <c r="E74" s="48"/>
      <c r="F74" s="49"/>
      <c r="G74" s="13" t="s">
        <v>107</v>
      </c>
      <c r="H74" s="47"/>
      <c r="I74" s="48"/>
      <c r="J74" s="48"/>
      <c r="K74" s="49"/>
      <c r="L74" s="17">
        <f>L75+L76</f>
        <v>353550000</v>
      </c>
    </row>
    <row r="75" spans="1:12" ht="42.75">
      <c r="A75" s="14"/>
      <c r="B75" s="12" t="s">
        <v>108</v>
      </c>
      <c r="C75" s="13" t="s">
        <v>107</v>
      </c>
      <c r="D75" s="13" t="s">
        <v>107</v>
      </c>
      <c r="E75" s="13" t="s">
        <v>107</v>
      </c>
      <c r="F75" s="13"/>
      <c r="G75" s="13" t="s">
        <v>107</v>
      </c>
      <c r="H75" s="13">
        <v>1</v>
      </c>
      <c r="I75" s="13" t="s">
        <v>9</v>
      </c>
      <c r="J75" s="13">
        <v>278400000</v>
      </c>
      <c r="K75" s="2"/>
      <c r="L75" s="13">
        <v>278400000</v>
      </c>
    </row>
    <row r="76" spans="1:12" ht="42.75">
      <c r="A76" s="6"/>
      <c r="B76" s="12" t="s">
        <v>106</v>
      </c>
      <c r="C76" s="13" t="s">
        <v>107</v>
      </c>
      <c r="D76" s="13" t="s">
        <v>107</v>
      </c>
      <c r="E76" s="13" t="s">
        <v>107</v>
      </c>
      <c r="F76" s="13"/>
      <c r="G76" s="13" t="s">
        <v>107</v>
      </c>
      <c r="H76" s="13">
        <v>1</v>
      </c>
      <c r="I76" s="13" t="s">
        <v>9</v>
      </c>
      <c r="J76" s="13">
        <v>75150000</v>
      </c>
      <c r="K76" s="2"/>
      <c r="L76" s="13">
        <v>75150000</v>
      </c>
    </row>
    <row r="77" spans="1:12" ht="15">
      <c r="A77" s="51" t="s">
        <v>6</v>
      </c>
      <c r="B77" s="52"/>
      <c r="C77" s="52"/>
      <c r="D77" s="52"/>
      <c r="E77" s="52"/>
      <c r="F77" s="53"/>
      <c r="G77" s="50">
        <f>G72+G69+G65+G62+G59+G57+G55+G53+G51+G49+G47+G42+G37+G32+G27+G24+G21+G18+G15+G12+G9+G6</f>
        <v>2447056536</v>
      </c>
      <c r="H77" s="51" t="s">
        <v>109</v>
      </c>
      <c r="I77" s="52"/>
      <c r="J77" s="52"/>
      <c r="K77" s="53"/>
      <c r="L77" s="50">
        <f>L6+L9+L12+L15+L18+L21+L24+L27+L32+L37+L42+L47+L49+L51+L53+L55+L57+L59+L62+L65+L69+L72+L74</f>
        <v>3012540440</v>
      </c>
    </row>
    <row r="78" spans="1:12" ht="15">
      <c r="A78" s="54" t="s">
        <v>110</v>
      </c>
      <c r="B78" s="55"/>
      <c r="C78" s="55"/>
      <c r="D78" s="55"/>
      <c r="E78" s="55"/>
      <c r="F78" s="55"/>
      <c r="G78" s="55"/>
      <c r="H78" s="55"/>
      <c r="I78" s="55"/>
      <c r="J78" s="55"/>
      <c r="K78" s="56"/>
      <c r="L78" s="50">
        <f>L77-G77</f>
        <v>565483904</v>
      </c>
    </row>
    <row r="79" spans="1:12" s="1" customFormat="1"/>
    <row r="93" s="3" customFormat="1"/>
    <row r="129" ht="14.25" customHeight="1"/>
    <row r="142" ht="15" customHeight="1"/>
    <row r="144" ht="15" customHeight="1"/>
    <row r="145" ht="15" customHeight="1"/>
    <row r="146" ht="12.75" customHeight="1"/>
    <row r="148" ht="15" customHeight="1"/>
    <row r="149" ht="15" customHeight="1"/>
    <row r="150" ht="15" customHeight="1"/>
    <row r="152" ht="12.75" customHeight="1"/>
    <row r="153" ht="12.75" customHeight="1"/>
    <row r="154" ht="12.75" customHeight="1"/>
    <row r="155" ht="12.75" customHeight="1"/>
    <row r="158" ht="12.75" customHeight="1"/>
    <row r="159" ht="12.75" customHeight="1"/>
    <row r="160" ht="12.75" customHeight="1"/>
    <row r="161" ht="12.75" customHeight="1"/>
    <row r="166" ht="12.75" customHeight="1"/>
    <row r="167" ht="25.5" customHeight="1"/>
    <row r="169" ht="27.75" customHeight="1"/>
    <row r="172" ht="12.75" customHeight="1"/>
    <row r="173" ht="12.75" customHeight="1"/>
    <row r="178" spans="1:18" ht="12.75" customHeight="1"/>
    <row r="179" spans="1:18" ht="12.75" customHeight="1"/>
    <row r="180" spans="1:18" s="2" customForma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253" spans="12:12">
      <c r="L253" s="4"/>
    </row>
  </sheetData>
  <mergeCells count="54">
    <mergeCell ref="A78:K78"/>
    <mergeCell ref="C65:F65"/>
    <mergeCell ref="H65:K65"/>
    <mergeCell ref="C69:F69"/>
    <mergeCell ref="H69:K69"/>
    <mergeCell ref="C72:F72"/>
    <mergeCell ref="H72:K72"/>
    <mergeCell ref="C74:F74"/>
    <mergeCell ref="H74:K74"/>
    <mergeCell ref="H77:K77"/>
    <mergeCell ref="A77:F77"/>
    <mergeCell ref="C57:F57"/>
    <mergeCell ref="H57:K57"/>
    <mergeCell ref="C59:F59"/>
    <mergeCell ref="H59:K59"/>
    <mergeCell ref="C62:F62"/>
    <mergeCell ref="H62:K62"/>
    <mergeCell ref="H51:K51"/>
    <mergeCell ref="C53:F53"/>
    <mergeCell ref="H53:K53"/>
    <mergeCell ref="C55:F55"/>
    <mergeCell ref="H55:K55"/>
    <mergeCell ref="H18:K18"/>
    <mergeCell ref="C32:F32"/>
    <mergeCell ref="C37:F37"/>
    <mergeCell ref="H37:K37"/>
    <mergeCell ref="C42:F42"/>
    <mergeCell ref="H21:K21"/>
    <mergeCell ref="C24:F24"/>
    <mergeCell ref="H24:K24"/>
    <mergeCell ref="C27:F27"/>
    <mergeCell ref="H27:K27"/>
    <mergeCell ref="C6:F6"/>
    <mergeCell ref="H6:K6"/>
    <mergeCell ref="C9:F9"/>
    <mergeCell ref="H9:K9"/>
    <mergeCell ref="C68:L68"/>
    <mergeCell ref="C47:F47"/>
    <mergeCell ref="H47:K47"/>
    <mergeCell ref="C49:F49"/>
    <mergeCell ref="H49:K49"/>
    <mergeCell ref="C51:F51"/>
    <mergeCell ref="C21:F21"/>
    <mergeCell ref="C12:F12"/>
    <mergeCell ref="H12:K12"/>
    <mergeCell ref="C15:F15"/>
    <mergeCell ref="H15:K15"/>
    <mergeCell ref="C18:F18"/>
    <mergeCell ref="A1:C1"/>
    <mergeCell ref="A2:B2"/>
    <mergeCell ref="H2:L2"/>
    <mergeCell ref="C4:L4"/>
    <mergeCell ref="C5:L5"/>
    <mergeCell ref="C2:G2"/>
  </mergeCells>
  <phoneticPr fontId="9" type="noConversion"/>
  <pageMargins left="0.7" right="0.7" top="0.75" bottom="0.75" header="0.3" footer="0.3"/>
  <pageSetup paperSize="5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lampiran nota dinas</vt:lpstr>
      <vt:lpstr>'lampiran nota dinas'!Print_Area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PPEP DISBUD</dc:creator>
  <cp:lastModifiedBy>wira darma</cp:lastModifiedBy>
  <cp:lastPrinted>2025-10-27T03:50:34Z</cp:lastPrinted>
  <dcterms:created xsi:type="dcterms:W3CDTF">2025-09-25T08:02:04Z</dcterms:created>
  <dcterms:modified xsi:type="dcterms:W3CDTF">2026-05-19T01:39:48Z</dcterms:modified>
</cp:coreProperties>
</file>